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Data/"/>
    </mc:Choice>
  </mc:AlternateContent>
  <xr:revisionPtr revIDLastSave="14" documentId="8_{1C4043A2-DDE1-45F2-8C13-323710820FC0}" xr6:coauthVersionLast="47" xr6:coauthVersionMax="47" xr10:uidLastSave="{5A5E77E8-C649-491A-B11B-5092FACFE310}"/>
  <bookViews>
    <workbookView xWindow="-80" yWindow="-80" windowWidth="19360" windowHeight="102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8" i="1"/>
  <c r="D28" i="1"/>
  <c r="E28" i="1"/>
  <c r="F28" i="1"/>
  <c r="G28" i="1"/>
  <c r="H28" i="1"/>
  <c r="C29" i="1"/>
  <c r="D29" i="1"/>
  <c r="E29" i="1"/>
  <c r="F29" i="1"/>
  <c r="G29" i="1"/>
  <c r="H29" i="1"/>
  <c r="I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H27" i="1"/>
  <c r="G27" i="1"/>
  <c r="F27" i="1"/>
  <c r="E27" i="1"/>
  <c r="D27" i="1"/>
  <c r="C27" i="1"/>
  <c r="I24" i="1"/>
  <c r="I26" i="1"/>
  <c r="I20" i="1"/>
  <c r="H21" i="1"/>
  <c r="H22" i="1"/>
  <c r="H23" i="1"/>
  <c r="H24" i="1"/>
  <c r="H25" i="1"/>
  <c r="H26" i="1"/>
  <c r="H20" i="1"/>
  <c r="G21" i="1"/>
  <c r="G22" i="1"/>
  <c r="G23" i="1"/>
  <c r="G24" i="1"/>
  <c r="G25" i="1"/>
  <c r="G26" i="1"/>
  <c r="G20" i="1"/>
  <c r="F21" i="1"/>
  <c r="F22" i="1"/>
  <c r="F23" i="1"/>
  <c r="F24" i="1"/>
  <c r="F25" i="1"/>
  <c r="F26" i="1"/>
  <c r="F20" i="1"/>
  <c r="E21" i="1"/>
  <c r="E22" i="1"/>
  <c r="E23" i="1"/>
  <c r="E24" i="1"/>
  <c r="E25" i="1"/>
  <c r="E26" i="1"/>
  <c r="E20" i="1"/>
  <c r="D21" i="1"/>
  <c r="D22" i="1"/>
  <c r="D23" i="1"/>
  <c r="D24" i="1"/>
  <c r="D25" i="1"/>
  <c r="D26" i="1"/>
  <c r="D20" i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32" i="1" s="1"/>
  <c r="C22" i="1"/>
  <c r="C23" i="1"/>
  <c r="C24" i="1"/>
  <c r="C25" i="1"/>
  <c r="C26" i="1"/>
  <c r="C20" i="1"/>
  <c r="I25" i="1" l="1"/>
  <c r="I28" i="1"/>
  <c r="I23" i="1"/>
  <c r="I30" i="1"/>
  <c r="I22" i="1"/>
  <c r="I27" i="1"/>
  <c r="I31" i="1"/>
  <c r="I21" i="1"/>
</calcChain>
</file>

<file path=xl/sharedStrings.xml><?xml version="1.0" encoding="utf-8"?>
<sst xmlns="http://schemas.openxmlformats.org/spreadsheetml/2006/main" count="46" uniqueCount="32">
  <si>
    <r>
      <rPr>
        <b/>
        <sz val="10"/>
        <rFont val="Times New Roman"/>
        <family val="1"/>
      </rPr>
      <t>Real GDP</t>
    </r>
  </si>
  <si>
    <r>
      <rPr>
        <b/>
        <sz val="10"/>
        <rFont val="Times New Roman"/>
        <family val="1"/>
      </rPr>
      <t>Agriculture, forestry &amp; fishing</t>
    </r>
  </si>
  <si>
    <r>
      <rPr>
        <sz val="10"/>
        <rFont val="Times New Roman"/>
        <family val="1"/>
      </rPr>
      <t>Cash crops</t>
    </r>
  </si>
  <si>
    <r>
      <rPr>
        <sz val="10"/>
        <rFont val="Times New Roman"/>
        <family val="1"/>
      </rPr>
      <t>Dairy farming</t>
    </r>
  </si>
  <si>
    <r>
      <rPr>
        <sz val="10"/>
        <rFont val="Times New Roman"/>
        <family val="1"/>
      </rPr>
      <t>Food crops</t>
    </r>
  </si>
  <si>
    <r>
      <rPr>
        <sz val="10"/>
        <rFont val="Times New Roman"/>
        <family val="1"/>
      </rPr>
      <t>Fishing</t>
    </r>
  </si>
  <si>
    <r>
      <rPr>
        <sz val="10"/>
        <rFont val="Times New Roman"/>
        <family val="1"/>
      </rPr>
      <t>Livestock</t>
    </r>
  </si>
  <si>
    <r>
      <rPr>
        <sz val="10"/>
        <rFont val="Times New Roman"/>
        <family val="1"/>
      </rPr>
      <t>Other</t>
    </r>
  </si>
  <si>
    <r>
      <rPr>
        <b/>
        <sz val="10"/>
        <rFont val="Times New Roman"/>
        <family val="1"/>
      </rPr>
      <t>Industry</t>
    </r>
  </si>
  <si>
    <r>
      <rPr>
        <sz val="10"/>
        <rFont val="Times New Roman"/>
        <family val="1"/>
      </rPr>
      <t>Agro - processing</t>
    </r>
  </si>
  <si>
    <r>
      <rPr>
        <sz val="10"/>
        <rFont val="Times New Roman"/>
        <family val="1"/>
      </rPr>
      <t>Construction</t>
    </r>
  </si>
  <si>
    <r>
      <rPr>
        <sz val="10"/>
        <rFont val="Times New Roman"/>
        <family val="1"/>
      </rPr>
      <t>Electricity and water</t>
    </r>
  </si>
  <si>
    <r>
      <rPr>
        <sz val="10"/>
        <rFont val="Times New Roman"/>
        <family val="1"/>
      </rPr>
      <t>Mining &amp; Quarrying</t>
    </r>
  </si>
  <si>
    <r>
      <rPr>
        <sz val="10"/>
        <rFont val="Times New Roman"/>
        <family val="1"/>
      </rPr>
      <t>Other Manufacturing</t>
    </r>
  </si>
  <si>
    <t>Real GDP</t>
  </si>
  <si>
    <t>Agriculture, forestry &amp; fishing</t>
  </si>
  <si>
    <t>Cash crops</t>
  </si>
  <si>
    <t>Dairy farming</t>
  </si>
  <si>
    <t>Food crops</t>
  </si>
  <si>
    <t>Fishing</t>
  </si>
  <si>
    <t>Livestock</t>
  </si>
  <si>
    <t>Other</t>
  </si>
  <si>
    <t>Industry</t>
  </si>
  <si>
    <t>Agro - processing</t>
  </si>
  <si>
    <t>Construction</t>
  </si>
  <si>
    <t>Electricity and water</t>
  </si>
  <si>
    <t>Mining &amp; Quarrying</t>
  </si>
  <si>
    <t>Other Manufacturing</t>
  </si>
  <si>
    <t>Contribution to GDP - Agriculture</t>
  </si>
  <si>
    <t>Contribution to GDP - Industry</t>
  </si>
  <si>
    <t>Implied sector real growth rates</t>
  </si>
  <si>
    <t>Implied sector real growth rates (2nd 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</si>
</sst>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0"/>
      <name val="Times New Roman"/>
    </font>
    <font>
      <b/>
      <sz val="10"/>
      <color rgb="FF000000"/>
      <name val="Times New Roman"/>
      <family val="2"/>
    </font>
    <font>
      <sz val="10"/>
      <name val="Times New Roman"/>
    </font>
    <font>
      <sz val="10"/>
      <color rgb="FF000000"/>
      <name val="Times New Roman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 indent="1"/>
    </xf>
    <xf numFmtId="2" fontId="4" fillId="0" borderId="1" xfId="0" applyNumberFormat="1" applyFont="1" applyBorder="1" applyAlignment="1">
      <alignment horizontal="right" vertical="top" shrinkToFit="1"/>
    </xf>
    <xf numFmtId="0" fontId="7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right" vertical="top" wrapText="1"/>
    </xf>
    <xf numFmtId="2" fontId="2" fillId="2" borderId="1" xfId="0" applyNumberFormat="1" applyFont="1" applyFill="1" applyBorder="1" applyAlignment="1">
      <alignment horizontal="right" vertical="top" shrinkToFit="1"/>
    </xf>
    <xf numFmtId="2" fontId="8" fillId="2" borderId="1" xfId="0" applyNumberFormat="1" applyFont="1" applyFill="1" applyBorder="1" applyAlignment="1">
      <alignment horizontal="right" vertical="top" shrinkToFit="1"/>
    </xf>
    <xf numFmtId="2" fontId="7" fillId="2" borderId="1" xfId="0" applyNumberFormat="1" applyFont="1" applyFill="1" applyBorder="1" applyAlignment="1">
      <alignment horizontal="right" vertical="top" shrinkToFit="1"/>
    </xf>
    <xf numFmtId="2" fontId="0" fillId="0" borderId="0" xfId="0" applyNumberFormat="1" applyAlignment="1">
      <alignment horizontal="left" vertical="top"/>
    </xf>
    <xf numFmtId="0" fontId="1" fillId="0" borderId="2" xfId="0" applyFont="1" applyBorder="1" applyAlignment="1">
      <alignment vertical="top" wrapText="1"/>
    </xf>
    <xf numFmtId="2" fontId="4" fillId="0" borderId="2" xfId="0" applyNumberFormat="1" applyFont="1" applyBorder="1" applyAlignment="1">
      <alignment vertical="top" shrinkToFit="1"/>
    </xf>
    <xf numFmtId="2" fontId="4" fillId="0" borderId="1" xfId="0" applyNumberFormat="1" applyFont="1" applyBorder="1" applyAlignment="1">
      <alignment vertical="top" shrinkToFit="1"/>
    </xf>
    <xf numFmtId="2" fontId="2" fillId="0" borderId="2" xfId="0" applyNumberFormat="1" applyFont="1" applyBorder="1" applyAlignment="1">
      <alignment vertical="top" shrinkToFit="1"/>
    </xf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"/>
  <sheetViews>
    <sheetView tabSelected="1" zoomScale="110" zoomScaleNormal="110" workbookViewId="0">
      <selection activeCell="N27" sqref="N27"/>
    </sheetView>
  </sheetViews>
  <sheetFormatPr defaultRowHeight="13" x14ac:dyDescent="0.3"/>
  <cols>
    <col min="1" max="1" width="4.69921875" customWidth="1"/>
    <col min="2" max="2" width="30.296875" bestFit="1" customWidth="1"/>
    <col min="3" max="9" width="11.8984375" bestFit="1" customWidth="1"/>
    <col min="10" max="11" width="1.09765625" customWidth="1"/>
    <col min="12" max="12" width="43" bestFit="1" customWidth="1"/>
    <col min="13" max="14" width="6.8984375" bestFit="1" customWidth="1"/>
    <col min="15" max="15" width="5.8984375" bestFit="1" customWidth="1"/>
    <col min="16" max="16" width="28.296875" bestFit="1" customWidth="1"/>
  </cols>
  <sheetData>
    <row r="1" spans="1:15" ht="14.25" customHeight="1" x14ac:dyDescent="0.3">
      <c r="A1" s="1"/>
      <c r="B1" s="2"/>
      <c r="C1" s="14">
        <v>2025</v>
      </c>
      <c r="D1" s="14">
        <v>2026</v>
      </c>
      <c r="E1" s="14">
        <v>2027</v>
      </c>
      <c r="F1" s="14">
        <v>2028</v>
      </c>
      <c r="G1" s="3">
        <v>2029</v>
      </c>
      <c r="H1" s="3">
        <v>2030</v>
      </c>
      <c r="I1" s="9">
        <v>2040</v>
      </c>
      <c r="J1" s="1"/>
      <c r="K1" s="1"/>
      <c r="M1" s="8">
        <v>2024</v>
      </c>
      <c r="N1" s="8">
        <v>2030</v>
      </c>
      <c r="O1" s="8">
        <v>2040</v>
      </c>
    </row>
    <row r="2" spans="1:15" ht="14.25" customHeight="1" x14ac:dyDescent="0.3">
      <c r="A2" s="1"/>
      <c r="B2" s="4" t="s">
        <v>0</v>
      </c>
      <c r="C2" s="17">
        <v>6.6</v>
      </c>
      <c r="D2" s="17">
        <v>7.35</v>
      </c>
      <c r="E2" s="17">
        <v>9.0500000000000007</v>
      </c>
      <c r="F2" s="17">
        <v>9.82</v>
      </c>
      <c r="G2" s="5">
        <v>10.35</v>
      </c>
      <c r="H2" s="5">
        <v>10.130000000000001</v>
      </c>
      <c r="I2" s="10">
        <v>8.2200000000000006</v>
      </c>
      <c r="J2" s="1"/>
      <c r="K2" s="1"/>
      <c r="L2" s="8" t="s">
        <v>28</v>
      </c>
      <c r="M2" s="13">
        <v>0.24</v>
      </c>
      <c r="N2">
        <v>0.248</v>
      </c>
      <c r="O2">
        <v>0.104</v>
      </c>
    </row>
    <row r="3" spans="1:15" ht="14.25" customHeight="1" x14ac:dyDescent="0.3">
      <c r="A3" s="1"/>
      <c r="B3" s="4" t="s">
        <v>1</v>
      </c>
      <c r="C3" s="17">
        <v>1.1000000000000001</v>
      </c>
      <c r="D3" s="17">
        <v>1.39</v>
      </c>
      <c r="E3" s="17">
        <v>1.73</v>
      </c>
      <c r="F3" s="17">
        <v>1.82</v>
      </c>
      <c r="G3" s="5">
        <v>1.76</v>
      </c>
      <c r="H3" s="5">
        <v>1.81</v>
      </c>
      <c r="I3" s="12">
        <f>(H3/H2)*I2</f>
        <v>1.468726554787759</v>
      </c>
      <c r="J3" s="1"/>
      <c r="K3" s="1"/>
      <c r="L3" s="8" t="s">
        <v>29</v>
      </c>
      <c r="M3">
        <v>0.26119999999999999</v>
      </c>
      <c r="N3">
        <v>0.28539999999999999</v>
      </c>
      <c r="O3">
        <v>0.314</v>
      </c>
    </row>
    <row r="4" spans="1:15" ht="14.25" customHeight="1" x14ac:dyDescent="0.3">
      <c r="A4" s="1"/>
      <c r="B4" s="6" t="s">
        <v>2</v>
      </c>
      <c r="C4" s="15">
        <v>0.01</v>
      </c>
      <c r="D4" s="15">
        <v>0.17</v>
      </c>
      <c r="E4" s="15">
        <v>0.27</v>
      </c>
      <c r="F4" s="15">
        <v>0.21</v>
      </c>
      <c r="G4" s="16">
        <v>0.12</v>
      </c>
      <c r="H4" s="16">
        <v>0.23</v>
      </c>
      <c r="I4" s="11">
        <f t="shared" ref="I4:I15" si="0">(H4/H3)*I3</f>
        <v>0.18663376110562685</v>
      </c>
      <c r="J4" s="1"/>
      <c r="K4" s="1"/>
    </row>
    <row r="5" spans="1:15" ht="14.25" customHeight="1" x14ac:dyDescent="0.3">
      <c r="A5" s="1"/>
      <c r="B5" s="6" t="s">
        <v>3</v>
      </c>
      <c r="C5" s="15">
        <v>0</v>
      </c>
      <c r="D5" s="15">
        <v>0</v>
      </c>
      <c r="E5" s="15">
        <v>0.04</v>
      </c>
      <c r="F5" s="15">
        <v>0.03</v>
      </c>
      <c r="G5" s="7">
        <v>0.01</v>
      </c>
      <c r="H5" s="7">
        <v>0.02</v>
      </c>
      <c r="I5" s="11">
        <f t="shared" si="0"/>
        <v>1.6229022704837118E-2</v>
      </c>
      <c r="J5" s="1"/>
      <c r="K5" s="1"/>
    </row>
    <row r="6" spans="1:15" ht="14.25" customHeight="1" x14ac:dyDescent="0.3">
      <c r="A6" s="1"/>
      <c r="B6" s="6" t="s">
        <v>4</v>
      </c>
      <c r="C6" s="15">
        <v>0.54</v>
      </c>
      <c r="D6" s="15">
        <v>0.54</v>
      </c>
      <c r="E6" s="15">
        <v>0.66</v>
      </c>
      <c r="F6" s="15">
        <v>0.73</v>
      </c>
      <c r="G6" s="7">
        <v>0.77</v>
      </c>
      <c r="H6" s="7">
        <v>0.71</v>
      </c>
      <c r="I6" s="11">
        <f t="shared" si="0"/>
        <v>0.57613030602171766</v>
      </c>
      <c r="J6" s="1"/>
      <c r="K6" s="1"/>
    </row>
    <row r="7" spans="1:15" ht="14.25" customHeight="1" x14ac:dyDescent="0.3">
      <c r="A7" s="1"/>
      <c r="B7" s="6" t="s">
        <v>5</v>
      </c>
      <c r="C7" s="15">
        <v>0.13</v>
      </c>
      <c r="D7" s="15">
        <v>0.16</v>
      </c>
      <c r="E7" s="15">
        <v>0.21</v>
      </c>
      <c r="F7" s="15">
        <v>0.23</v>
      </c>
      <c r="G7" s="7">
        <v>0.22</v>
      </c>
      <c r="H7" s="7">
        <v>0.24</v>
      </c>
      <c r="I7" s="11">
        <f t="shared" si="0"/>
        <v>0.19474827245804541</v>
      </c>
      <c r="J7" s="1"/>
      <c r="K7" s="1"/>
    </row>
    <row r="8" spans="1:15" ht="14.25" customHeight="1" x14ac:dyDescent="0.3">
      <c r="A8" s="1"/>
      <c r="B8" s="6" t="s">
        <v>6</v>
      </c>
      <c r="C8" s="15">
        <v>0.13</v>
      </c>
      <c r="D8" s="15">
        <v>0.15</v>
      </c>
      <c r="E8" s="15">
        <v>0.17</v>
      </c>
      <c r="F8" s="15">
        <v>0.18</v>
      </c>
      <c r="G8" s="7">
        <v>0.19</v>
      </c>
      <c r="H8" s="7">
        <v>0.18</v>
      </c>
      <c r="I8" s="11">
        <f t="shared" si="0"/>
        <v>0.14606120434353406</v>
      </c>
      <c r="J8" s="1"/>
      <c r="K8" s="1"/>
    </row>
    <row r="9" spans="1:15" ht="14.25" customHeight="1" x14ac:dyDescent="0.3">
      <c r="A9" s="1"/>
      <c r="B9" s="6" t="s">
        <v>7</v>
      </c>
      <c r="C9" s="15">
        <v>0.31</v>
      </c>
      <c r="D9" s="15">
        <v>0.36</v>
      </c>
      <c r="E9" s="15">
        <v>0.41</v>
      </c>
      <c r="F9" s="15">
        <v>0.46</v>
      </c>
      <c r="G9" s="7">
        <v>0.47</v>
      </c>
      <c r="H9" s="7">
        <v>0.46</v>
      </c>
      <c r="I9" s="11">
        <f t="shared" si="0"/>
        <v>0.37326752221125375</v>
      </c>
      <c r="J9" s="1"/>
      <c r="K9" s="1"/>
    </row>
    <row r="10" spans="1:15" ht="14.25" customHeight="1" x14ac:dyDescent="0.3">
      <c r="A10" s="1"/>
      <c r="B10" s="4" t="s">
        <v>8</v>
      </c>
      <c r="C10" s="17">
        <v>1.72</v>
      </c>
      <c r="D10" s="17">
        <v>2.4500000000000002</v>
      </c>
      <c r="E10" s="17">
        <v>2.88</v>
      </c>
      <c r="F10" s="17">
        <v>3.01</v>
      </c>
      <c r="G10" s="5">
        <v>2.87</v>
      </c>
      <c r="H10" s="5">
        <v>3.17</v>
      </c>
      <c r="I10" s="12">
        <f t="shared" si="0"/>
        <v>2.5723000987166835</v>
      </c>
      <c r="J10" s="1"/>
      <c r="K10" s="1"/>
    </row>
    <row r="11" spans="1:15" ht="14.25" customHeight="1" x14ac:dyDescent="0.3">
      <c r="A11" s="1"/>
      <c r="B11" s="6" t="s">
        <v>9</v>
      </c>
      <c r="C11" s="15">
        <v>0.68</v>
      </c>
      <c r="D11" s="15">
        <v>0.79</v>
      </c>
      <c r="E11" s="15">
        <v>1.3</v>
      </c>
      <c r="F11" s="15">
        <v>1.34</v>
      </c>
      <c r="G11" s="16">
        <v>1.1499999999999999</v>
      </c>
      <c r="H11" s="16">
        <v>1.33</v>
      </c>
      <c r="I11" s="11">
        <f t="shared" si="0"/>
        <v>1.0792300098716687</v>
      </c>
      <c r="J11" s="1"/>
      <c r="K11" s="1"/>
    </row>
    <row r="12" spans="1:15" ht="14.25" customHeight="1" x14ac:dyDescent="0.3">
      <c r="A12" s="1"/>
      <c r="B12" s="6" t="s">
        <v>10</v>
      </c>
      <c r="C12" s="15">
        <v>0.45</v>
      </c>
      <c r="D12" s="15">
        <v>0.81</v>
      </c>
      <c r="E12" s="15">
        <v>0.55000000000000004</v>
      </c>
      <c r="F12" s="15">
        <v>0.61</v>
      </c>
      <c r="G12" s="7">
        <v>0.71</v>
      </c>
      <c r="H12" s="7">
        <v>0.69</v>
      </c>
      <c r="I12" s="11">
        <f t="shared" si="0"/>
        <v>0.55990128331688072</v>
      </c>
      <c r="J12" s="1"/>
      <c r="K12" s="1"/>
    </row>
    <row r="13" spans="1:15" ht="14.25" customHeight="1" x14ac:dyDescent="0.3">
      <c r="A13" s="1"/>
      <c r="B13" s="6" t="s">
        <v>11</v>
      </c>
      <c r="C13" s="15">
        <v>0.24</v>
      </c>
      <c r="D13" s="15">
        <v>0.24</v>
      </c>
      <c r="E13" s="15">
        <v>0.28999999999999998</v>
      </c>
      <c r="F13" s="15">
        <v>0.34</v>
      </c>
      <c r="G13" s="7">
        <v>0.36</v>
      </c>
      <c r="H13" s="7">
        <v>0.36</v>
      </c>
      <c r="I13" s="11">
        <f t="shared" si="0"/>
        <v>0.29212240868706818</v>
      </c>
      <c r="J13" s="1"/>
      <c r="K13" s="1"/>
    </row>
    <row r="14" spans="1:15" ht="14.25" customHeight="1" x14ac:dyDescent="0.3">
      <c r="A14" s="1"/>
      <c r="B14" s="6" t="s">
        <v>12</v>
      </c>
      <c r="C14" s="15">
        <v>0.08</v>
      </c>
      <c r="D14" s="15">
        <v>0.14000000000000001</v>
      </c>
      <c r="E14" s="15">
        <v>0.15</v>
      </c>
      <c r="F14" s="15">
        <v>0.15</v>
      </c>
      <c r="G14" s="7">
        <v>0.14000000000000001</v>
      </c>
      <c r="H14" s="7">
        <v>0.16</v>
      </c>
      <c r="I14" s="11">
        <f t="shared" si="0"/>
        <v>0.12983218163869698</v>
      </c>
      <c r="J14" s="1"/>
      <c r="K14" s="1"/>
    </row>
    <row r="15" spans="1:15" ht="14.25" customHeight="1" x14ac:dyDescent="0.3">
      <c r="A15" s="1"/>
      <c r="B15" s="6" t="s">
        <v>13</v>
      </c>
      <c r="C15" s="15">
        <v>0.27</v>
      </c>
      <c r="D15" s="15">
        <v>0.48</v>
      </c>
      <c r="E15" s="15">
        <v>0.59</v>
      </c>
      <c r="F15" s="15">
        <v>0.56999999999999995</v>
      </c>
      <c r="G15" s="7">
        <v>0.51</v>
      </c>
      <c r="H15" s="7">
        <v>0.63</v>
      </c>
      <c r="I15" s="11">
        <f t="shared" si="0"/>
        <v>0.51121421520236932</v>
      </c>
      <c r="J15" s="1"/>
      <c r="K15" s="1"/>
    </row>
    <row r="18" spans="2:19" x14ac:dyDescent="0.3">
      <c r="B18" s="8" t="s">
        <v>30</v>
      </c>
      <c r="C18">
        <v>2025</v>
      </c>
      <c r="D18">
        <v>2026</v>
      </c>
      <c r="E18">
        <v>2027</v>
      </c>
      <c r="F18">
        <v>2028</v>
      </c>
      <c r="G18">
        <v>2029</v>
      </c>
      <c r="H18">
        <v>2030</v>
      </c>
      <c r="I18">
        <v>2040</v>
      </c>
      <c r="L18" s="18" t="s">
        <v>31</v>
      </c>
      <c r="M18" s="19">
        <v>2025</v>
      </c>
      <c r="N18" s="19">
        <v>2026</v>
      </c>
      <c r="O18" s="19">
        <v>2027</v>
      </c>
      <c r="P18" s="19">
        <v>2028</v>
      </c>
      <c r="Q18" s="19">
        <v>2029</v>
      </c>
      <c r="R18" s="19">
        <v>2030</v>
      </c>
      <c r="S18" s="19">
        <v>2040</v>
      </c>
    </row>
    <row r="19" spans="2:19" x14ac:dyDescent="0.3">
      <c r="B19" t="s">
        <v>14</v>
      </c>
      <c r="L19" t="s">
        <v>14</v>
      </c>
    </row>
    <row r="20" spans="2:19" x14ac:dyDescent="0.3">
      <c r="B20" t="s">
        <v>15</v>
      </c>
      <c r="C20">
        <f t="shared" ref="C20:C26" si="1">(C3/100)/M$2</f>
        <v>4.5833333333333337E-2</v>
      </c>
      <c r="D20">
        <f>(D3/100)/M$2</f>
        <v>5.7916666666666665E-2</v>
      </c>
      <c r="E20">
        <f>(D3/100)/M$2</f>
        <v>5.7916666666666665E-2</v>
      </c>
      <c r="F20">
        <f t="shared" ref="F20:F26" si="2">(F3/100)/M$2</f>
        <v>7.5833333333333336E-2</v>
      </c>
      <c r="G20">
        <f>(G3/100)/M$2</f>
        <v>7.3333333333333334E-2</v>
      </c>
      <c r="H20">
        <f>(H3/100)/N$2</f>
        <v>7.2983870967741948E-2</v>
      </c>
      <c r="I20">
        <f>(I3/100)/O$2</f>
        <v>0.14122370719113067</v>
      </c>
      <c r="L20" t="s">
        <v>15</v>
      </c>
    </row>
    <row r="21" spans="2:19" x14ac:dyDescent="0.3">
      <c r="B21" t="s">
        <v>16</v>
      </c>
      <c r="C21">
        <f t="shared" si="1"/>
        <v>4.1666666666666669E-4</v>
      </c>
      <c r="D21">
        <f t="shared" ref="D21:D26" si="3">(D4/100)/M$2</f>
        <v>7.0833333333333338E-3</v>
      </c>
      <c r="E21">
        <f t="shared" ref="E21:E26" si="4">(D4/100)/M$2</f>
        <v>7.0833333333333338E-3</v>
      </c>
      <c r="F21">
        <f t="shared" si="2"/>
        <v>8.7499999999999991E-3</v>
      </c>
      <c r="G21">
        <f t="shared" ref="G21:H26" si="5">(G4/100)/M$2</f>
        <v>5.0000000000000001E-3</v>
      </c>
      <c r="H21">
        <f t="shared" si="5"/>
        <v>9.2741935483870962E-3</v>
      </c>
      <c r="I21">
        <f t="shared" ref="I21:I26" si="6">(I4/100)/O$2</f>
        <v>1.7945553952464121E-2</v>
      </c>
      <c r="L21" t="s">
        <v>16</v>
      </c>
    </row>
    <row r="22" spans="2:19" x14ac:dyDescent="0.3">
      <c r="B22" t="s">
        <v>17</v>
      </c>
      <c r="C22">
        <f t="shared" si="1"/>
        <v>0</v>
      </c>
      <c r="D22">
        <f t="shared" si="3"/>
        <v>0</v>
      </c>
      <c r="E22">
        <f t="shared" si="4"/>
        <v>0</v>
      </c>
      <c r="F22">
        <f t="shared" si="2"/>
        <v>1.25E-3</v>
      </c>
      <c r="G22">
        <f t="shared" si="5"/>
        <v>4.1666666666666669E-4</v>
      </c>
      <c r="H22">
        <f t="shared" si="5"/>
        <v>8.0645161290322581E-4</v>
      </c>
      <c r="I22">
        <f t="shared" si="6"/>
        <v>1.5604829523881843E-3</v>
      </c>
      <c r="L22" t="s">
        <v>17</v>
      </c>
    </row>
    <row r="23" spans="2:19" x14ac:dyDescent="0.3">
      <c r="B23" t="s">
        <v>18</v>
      </c>
      <c r="C23">
        <f t="shared" si="1"/>
        <v>2.2500000000000003E-2</v>
      </c>
      <c r="D23">
        <f t="shared" si="3"/>
        <v>2.2500000000000003E-2</v>
      </c>
      <c r="E23">
        <f t="shared" si="4"/>
        <v>2.2500000000000003E-2</v>
      </c>
      <c r="F23">
        <f t="shared" si="2"/>
        <v>3.0416666666666668E-2</v>
      </c>
      <c r="G23">
        <f t="shared" si="5"/>
        <v>3.2083333333333339E-2</v>
      </c>
      <c r="H23">
        <f t="shared" si="5"/>
        <v>2.8629032258064513E-2</v>
      </c>
      <c r="I23">
        <f t="shared" si="6"/>
        <v>5.5397144809780544E-2</v>
      </c>
      <c r="L23" t="s">
        <v>18</v>
      </c>
    </row>
    <row r="24" spans="2:19" x14ac:dyDescent="0.3">
      <c r="B24" t="s">
        <v>19</v>
      </c>
      <c r="C24">
        <f t="shared" si="1"/>
        <v>5.4166666666666669E-3</v>
      </c>
      <c r="D24">
        <f t="shared" si="3"/>
        <v>6.6666666666666671E-3</v>
      </c>
      <c r="E24">
        <f t="shared" si="4"/>
        <v>6.6666666666666671E-3</v>
      </c>
      <c r="F24">
        <f t="shared" si="2"/>
        <v>9.5833333333333343E-3</v>
      </c>
      <c r="G24">
        <f t="shared" si="5"/>
        <v>9.1666666666666667E-3</v>
      </c>
      <c r="H24">
        <f t="shared" si="5"/>
        <v>9.6774193548387084E-3</v>
      </c>
      <c r="I24">
        <f t="shared" si="6"/>
        <v>1.8725795428658213E-2</v>
      </c>
      <c r="L24" t="s">
        <v>19</v>
      </c>
    </row>
    <row r="25" spans="2:19" x14ac:dyDescent="0.3">
      <c r="B25" t="s">
        <v>20</v>
      </c>
      <c r="C25">
        <f t="shared" si="1"/>
        <v>5.4166666666666669E-3</v>
      </c>
      <c r="D25">
        <f t="shared" si="3"/>
        <v>6.2500000000000003E-3</v>
      </c>
      <c r="E25">
        <f t="shared" si="4"/>
        <v>6.2500000000000003E-3</v>
      </c>
      <c r="F25">
        <f t="shared" si="2"/>
        <v>7.4999999999999997E-3</v>
      </c>
      <c r="G25">
        <f t="shared" si="5"/>
        <v>7.9166666666666673E-3</v>
      </c>
      <c r="H25">
        <f t="shared" si="5"/>
        <v>7.2580645161290317E-3</v>
      </c>
      <c r="I25">
        <f t="shared" si="6"/>
        <v>1.4044346571493661E-2</v>
      </c>
      <c r="L25" t="s">
        <v>20</v>
      </c>
    </row>
    <row r="26" spans="2:19" x14ac:dyDescent="0.3">
      <c r="B26" t="s">
        <v>21</v>
      </c>
      <c r="C26">
        <f t="shared" si="1"/>
        <v>1.2916666666666667E-2</v>
      </c>
      <c r="D26">
        <f t="shared" si="3"/>
        <v>1.4999999999999999E-2</v>
      </c>
      <c r="E26">
        <f t="shared" si="4"/>
        <v>1.4999999999999999E-2</v>
      </c>
      <c r="F26">
        <f t="shared" si="2"/>
        <v>1.9166666666666669E-2</v>
      </c>
      <c r="G26">
        <f t="shared" si="5"/>
        <v>1.9583333333333331E-2</v>
      </c>
      <c r="H26">
        <f t="shared" si="5"/>
        <v>1.8548387096774192E-2</v>
      </c>
      <c r="I26">
        <f t="shared" si="6"/>
        <v>3.5891107904928249E-2</v>
      </c>
      <c r="L26" t="s">
        <v>21</v>
      </c>
    </row>
    <row r="27" spans="2:19" x14ac:dyDescent="0.3">
      <c r="B27" t="s">
        <v>22</v>
      </c>
      <c r="C27">
        <f t="shared" ref="C27:C32" si="7">(C10/100)/M$3</f>
        <v>6.5849923430321602E-2</v>
      </c>
      <c r="D27">
        <f>(D10/100)/M$3</f>
        <v>9.3797856049004605E-2</v>
      </c>
      <c r="E27">
        <f>(D10/100)/M$3</f>
        <v>9.3797856049004605E-2</v>
      </c>
      <c r="F27">
        <f>(F10/100)/M$3</f>
        <v>0.11523736600306278</v>
      </c>
      <c r="G27">
        <f t="shared" ref="G27:I32" si="8">(G10/100)/M$3</f>
        <v>0.10987748851454825</v>
      </c>
      <c r="H27">
        <f t="shared" si="8"/>
        <v>0.11107217939733707</v>
      </c>
      <c r="I27">
        <f t="shared" si="8"/>
        <v>8.1920385309448521E-2</v>
      </c>
      <c r="L27" t="s">
        <v>22</v>
      </c>
    </row>
    <row r="28" spans="2:19" x14ac:dyDescent="0.3">
      <c r="B28" t="s">
        <v>23</v>
      </c>
      <c r="C28">
        <f t="shared" si="7"/>
        <v>2.6033690658499236E-2</v>
      </c>
      <c r="D28">
        <f t="shared" ref="D28:D32" si="9">(D11/100)/M$3</f>
        <v>3.0245022970903528E-2</v>
      </c>
      <c r="E28">
        <f t="shared" ref="E28:E32" si="10">(D11/100)/M$3</f>
        <v>3.0245022970903528E-2</v>
      </c>
      <c r="F28">
        <f t="shared" ref="F28:F32" si="11">(F11/100)/M$3</f>
        <v>5.1301684532924968E-2</v>
      </c>
      <c r="G28">
        <f t="shared" si="8"/>
        <v>4.4027565084226644E-2</v>
      </c>
      <c r="H28">
        <f t="shared" si="8"/>
        <v>4.6601261387526287E-2</v>
      </c>
      <c r="I28">
        <f t="shared" si="8"/>
        <v>3.4370382479989449E-2</v>
      </c>
      <c r="L28" t="s">
        <v>23</v>
      </c>
    </row>
    <row r="29" spans="2:19" x14ac:dyDescent="0.3">
      <c r="B29" t="s">
        <v>24</v>
      </c>
      <c r="C29">
        <f t="shared" si="7"/>
        <v>1.7228177641653908E-2</v>
      </c>
      <c r="D29">
        <f t="shared" si="9"/>
        <v>3.1010719754977035E-2</v>
      </c>
      <c r="E29">
        <f t="shared" si="10"/>
        <v>3.1010719754977035E-2</v>
      </c>
      <c r="F29">
        <f t="shared" si="11"/>
        <v>2.3353751914241959E-2</v>
      </c>
      <c r="G29">
        <f t="shared" si="8"/>
        <v>2.7182235834609495E-2</v>
      </c>
      <c r="H29">
        <f t="shared" si="8"/>
        <v>2.4176594253679049E-2</v>
      </c>
      <c r="I29">
        <f t="shared" si="8"/>
        <v>1.7831251061047156E-2</v>
      </c>
      <c r="L29" t="s">
        <v>24</v>
      </c>
    </row>
    <row r="30" spans="2:19" x14ac:dyDescent="0.3">
      <c r="B30" t="s">
        <v>25</v>
      </c>
      <c r="C30">
        <f t="shared" si="7"/>
        <v>9.1883614088820818E-3</v>
      </c>
      <c r="D30">
        <f t="shared" si="9"/>
        <v>9.1883614088820818E-3</v>
      </c>
      <c r="E30">
        <f t="shared" si="10"/>
        <v>9.1883614088820818E-3</v>
      </c>
      <c r="F30">
        <f t="shared" si="11"/>
        <v>1.3016845329249618E-2</v>
      </c>
      <c r="G30">
        <f t="shared" si="8"/>
        <v>1.3782542113323124E-2</v>
      </c>
      <c r="H30">
        <f t="shared" si="8"/>
        <v>1.2613875262789068E-2</v>
      </c>
      <c r="I30">
        <f t="shared" si="8"/>
        <v>9.3032614231550372E-3</v>
      </c>
      <c r="L30" t="s">
        <v>25</v>
      </c>
    </row>
    <row r="31" spans="2:19" x14ac:dyDescent="0.3">
      <c r="B31" t="s">
        <v>26</v>
      </c>
      <c r="C31">
        <f t="shared" si="7"/>
        <v>3.0627871362940277E-3</v>
      </c>
      <c r="D31">
        <f t="shared" si="9"/>
        <v>5.359877488514549E-3</v>
      </c>
      <c r="E31">
        <f t="shared" si="10"/>
        <v>5.359877488514549E-3</v>
      </c>
      <c r="F31">
        <f t="shared" si="11"/>
        <v>5.7427258805513018E-3</v>
      </c>
      <c r="G31">
        <f t="shared" si="8"/>
        <v>5.359877488514549E-3</v>
      </c>
      <c r="H31">
        <f t="shared" si="8"/>
        <v>5.6061667834618086E-3</v>
      </c>
      <c r="I31">
        <f t="shared" si="8"/>
        <v>4.1347828547355723E-3</v>
      </c>
      <c r="L31" t="s">
        <v>26</v>
      </c>
    </row>
    <row r="32" spans="2:19" x14ac:dyDescent="0.3">
      <c r="B32" t="s">
        <v>27</v>
      </c>
      <c r="C32">
        <f t="shared" si="7"/>
        <v>1.0336906584992344E-2</v>
      </c>
      <c r="D32">
        <f t="shared" si="9"/>
        <v>1.8376722817764164E-2</v>
      </c>
      <c r="E32">
        <f t="shared" si="10"/>
        <v>1.8376722817764164E-2</v>
      </c>
      <c r="F32">
        <f t="shared" si="11"/>
        <v>2.1822358346094944E-2</v>
      </c>
      <c r="G32">
        <f t="shared" si="8"/>
        <v>1.952526799387443E-2</v>
      </c>
      <c r="H32">
        <f t="shared" si="8"/>
        <v>2.2074281709880871E-2</v>
      </c>
      <c r="I32">
        <f t="shared" si="8"/>
        <v>1.6280707490521316E-2</v>
      </c>
      <c r="L3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Esteves</dc:creator>
  <cp:lastModifiedBy>Fernando Esteves</cp:lastModifiedBy>
  <dcterms:created xsi:type="dcterms:W3CDTF">2025-09-09T00:01:19Z</dcterms:created>
  <dcterms:modified xsi:type="dcterms:W3CDTF">2025-09-23T12:39:53Z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2025-09-08T00:00:00Z</vt:filetime>
  </property>
  <property fmtid="{D5CDD505-2E9C-101B-9397-08002B2CF9AE}" pid="3" name="Creator">
    <vt:lpwstr>Nitro Pro 10</vt:lpwstr>
  </property>
  <property fmtid="{D5CDD505-2E9C-101B-9397-08002B2CF9AE}" pid="4" name="LastSaved">
    <vt:filetime>2025-09-09T00:00:00Z</vt:filetime>
  </property>
</Properties>
</file>